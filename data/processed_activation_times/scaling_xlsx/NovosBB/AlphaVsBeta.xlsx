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<sst xmlns="http://schemas.openxmlformats.org/spreadsheetml/2006/main" count="13" uniqueCount="12">
  <si>
    <t xml:space="preserve">Distribuição dos Raios</t>
  </si>
  <si>
    <t xml:space="preserve">Tamanho(µm)</t>
  </si>
  <si>
    <t xml:space="preserve">Alpha</t>
  </si>
  <si>
    <t xml:space="preserve">Beta</t>
  </si>
  <si>
    <t xml:space="preserve">Quantidade G2_50</t>
  </si>
  <si>
    <t xml:space="preserve">Quantidade G3_50</t>
  </si>
  <si>
    <t xml:space="preserve">Quantidade G4_50</t>
  </si>
  <si>
    <t xml:space="preserve">Tempo de Ativação vs Campo Elétrico</t>
  </si>
  <si>
    <t xml:space="preserve">Campo Elétrico</t>
  </si>
  <si>
    <t xml:space="preserve">Tempo de Ativação G2_50</t>
  </si>
  <si>
    <t xml:space="preserve">Tempo de Ativação G3_50</t>
  </si>
  <si>
    <t xml:space="preserve">Tempo de Ativação G4_50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</si>
</sst>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22222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spPr>
              <a:ln>
                <a:solidFill>
                  <a:srgbClr val="004586"/>
                </a:solidFill>
              </a:ln>
            </c:spPr>
            <c:trendlineType val="power"/>
            <c:forward val="0"/>
            <c:backward val="0"/>
            <c:dispRSqr val="0"/>
            <c:dispEq val="1"/>
          </c:trendline>
          <c:xVal>
            <c:numRef>
              <c:f>Sheet1!$E$2:$T$2</c:f>
              <c:numCache>
                <c:formatCode>General</c:formatCode>
                <c:ptCount val="16"/>
                <c:pt idx="0">
                  <c:v>100</c:v>
                </c:pt>
                <c:pt idx="1">
                  <c:v>125</c:v>
                </c:pt>
                <c:pt idx="2">
                  <c:v>150</c:v>
                </c:pt>
                <c:pt idx="3">
                  <c:v>175</c:v>
                </c:pt>
                <c:pt idx="4">
                  <c:v>200</c:v>
                </c:pt>
                <c:pt idx="5">
                  <c:v>225</c:v>
                </c:pt>
                <c:pt idx="6">
                  <c:v>250</c:v>
                </c:pt>
                <c:pt idx="7">
                  <c:v>275</c:v>
                </c:pt>
                <c:pt idx="8">
                  <c:v>300</c:v>
                </c:pt>
                <c:pt idx="9">
                  <c:v>325</c:v>
                </c:pt>
                <c:pt idx="10">
                  <c:v>350</c:v>
                </c:pt>
                <c:pt idx="11">
                  <c:v>375</c:v>
                </c:pt>
                <c:pt idx="12">
                  <c:v>400</c:v>
                </c:pt>
                <c:pt idx="13">
                  <c:v>425</c:v>
                </c:pt>
                <c:pt idx="14">
                  <c:v>450</c:v>
                </c:pt>
                <c:pt idx="15">
                  <c:v>475</c:v>
                </c:pt>
              </c:numCache>
            </c:numRef>
          </c:xVal>
          <c:yVal>
            <c:numRef>
              <c:f>Sheet1!$E$3:$T$3</c:f>
              <c:numCache>
                <c:formatCode>General</c:formatCode>
                <c:ptCount val="16"/>
                <c:pt idx="0">
                  <c:v>4373</c:v>
                </c:pt>
                <c:pt idx="1">
                  <c:v>1182</c:v>
                </c:pt>
                <c:pt idx="2">
                  <c:v>1147</c:v>
                </c:pt>
                <c:pt idx="3">
                  <c:v>544</c:v>
                </c:pt>
                <c:pt idx="4">
                  <c:v>210</c:v>
                </c:pt>
                <c:pt idx="5">
                  <c:v>445</c:v>
                </c:pt>
                <c:pt idx="6">
                  <c:v>179</c:v>
                </c:pt>
                <c:pt idx="7">
                  <c:v>155</c:v>
                </c:pt>
                <c:pt idx="8">
                  <c:v>262</c:v>
                </c:pt>
                <c:pt idx="9">
                  <c:v>266</c:v>
                </c:pt>
                <c:pt idx="10">
                  <c:v>141</c:v>
                </c:pt>
                <c:pt idx="11">
                  <c:v>0</c:v>
                </c:pt>
                <c:pt idx="12">
                  <c:v>112</c:v>
                </c:pt>
                <c:pt idx="13">
                  <c:v>0</c:v>
                </c:pt>
                <c:pt idx="14">
                  <c:v>0</c:v>
                </c:pt>
                <c:pt idx="15">
                  <c:v>625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spPr>
              <a:ln>
                <a:solidFill>
                  <a:srgbClr val="ff420e"/>
                </a:solidFill>
              </a:ln>
            </c:spPr>
            <c:trendlineType val="power"/>
            <c:forward val="0"/>
            <c:backward val="0"/>
            <c:dispRSqr val="0"/>
            <c:dispEq val="1"/>
          </c:trendline>
          <c:xVal>
            <c:numRef>
              <c:f>Sheet1!$E$2:$T$2</c:f>
              <c:numCache>
                <c:formatCode>General</c:formatCode>
                <c:ptCount val="16"/>
                <c:pt idx="0">
                  <c:v>100</c:v>
                </c:pt>
                <c:pt idx="1">
                  <c:v>125</c:v>
                </c:pt>
                <c:pt idx="2">
                  <c:v>150</c:v>
                </c:pt>
                <c:pt idx="3">
                  <c:v>175</c:v>
                </c:pt>
                <c:pt idx="4">
                  <c:v>200</c:v>
                </c:pt>
                <c:pt idx="5">
                  <c:v>225</c:v>
                </c:pt>
                <c:pt idx="6">
                  <c:v>250</c:v>
                </c:pt>
                <c:pt idx="7">
                  <c:v>275</c:v>
                </c:pt>
                <c:pt idx="8">
                  <c:v>300</c:v>
                </c:pt>
                <c:pt idx="9">
                  <c:v>325</c:v>
                </c:pt>
                <c:pt idx="10">
                  <c:v>350</c:v>
                </c:pt>
                <c:pt idx="11">
                  <c:v>375</c:v>
                </c:pt>
                <c:pt idx="12">
                  <c:v>400</c:v>
                </c:pt>
                <c:pt idx="13">
                  <c:v>425</c:v>
                </c:pt>
                <c:pt idx="14">
                  <c:v>450</c:v>
                </c:pt>
                <c:pt idx="15">
                  <c:v>475</c:v>
                </c:pt>
              </c:numCache>
            </c:numRef>
          </c:xVal>
          <c:yVal>
            <c:numRef>
              <c:f>Sheet1!$E$4:$T$4</c:f>
              <c:numCache>
                <c:formatCode>General</c:formatCode>
                <c:ptCount val="16"/>
                <c:pt idx="0">
                  <c:v>3090</c:v>
                </c:pt>
                <c:pt idx="1">
                  <c:v>3240</c:v>
                </c:pt>
                <c:pt idx="2">
                  <c:v>980</c:v>
                </c:pt>
                <c:pt idx="3">
                  <c:v>660</c:v>
                </c:pt>
                <c:pt idx="4">
                  <c:v>531</c:v>
                </c:pt>
                <c:pt idx="5">
                  <c:v>524</c:v>
                </c:pt>
                <c:pt idx="6">
                  <c:v>207</c:v>
                </c:pt>
                <c:pt idx="7">
                  <c:v>0</c:v>
                </c:pt>
                <c:pt idx="8">
                  <c:v>84</c:v>
                </c:pt>
                <c:pt idx="9">
                  <c:v>94</c:v>
                </c:pt>
                <c:pt idx="10">
                  <c:v>103</c:v>
                </c:pt>
                <c:pt idx="11">
                  <c:v>203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ffd320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spPr>
              <a:ln>
                <a:solidFill>
                  <a:srgbClr val="ffd320"/>
                </a:solidFill>
              </a:ln>
            </c:spPr>
            <c:trendlineType val="power"/>
            <c:forward val="0"/>
            <c:backward val="0"/>
            <c:dispRSqr val="0"/>
            <c:dispEq val="1"/>
          </c:trendline>
          <c:xVal>
            <c:numRef>
              <c:f>Sheet1!$E$2:$T$2</c:f>
              <c:numCache>
                <c:formatCode>General</c:formatCode>
                <c:ptCount val="16"/>
                <c:pt idx="0">
                  <c:v>100</c:v>
                </c:pt>
                <c:pt idx="1">
                  <c:v>125</c:v>
                </c:pt>
                <c:pt idx="2">
                  <c:v>150</c:v>
                </c:pt>
                <c:pt idx="3">
                  <c:v>175</c:v>
                </c:pt>
                <c:pt idx="4">
                  <c:v>200</c:v>
                </c:pt>
                <c:pt idx="5">
                  <c:v>225</c:v>
                </c:pt>
                <c:pt idx="6">
                  <c:v>250</c:v>
                </c:pt>
                <c:pt idx="7">
                  <c:v>275</c:v>
                </c:pt>
                <c:pt idx="8">
                  <c:v>300</c:v>
                </c:pt>
                <c:pt idx="9">
                  <c:v>325</c:v>
                </c:pt>
                <c:pt idx="10">
                  <c:v>350</c:v>
                </c:pt>
                <c:pt idx="11">
                  <c:v>375</c:v>
                </c:pt>
                <c:pt idx="12">
                  <c:v>400</c:v>
                </c:pt>
                <c:pt idx="13">
                  <c:v>425</c:v>
                </c:pt>
                <c:pt idx="14">
                  <c:v>450</c:v>
                </c:pt>
                <c:pt idx="15">
                  <c:v>475</c:v>
                </c:pt>
              </c:numCache>
            </c:numRef>
          </c:xVal>
          <c:yVal>
            <c:numRef>
              <c:f>Sheet1!$E$5:$T$5</c:f>
              <c:numCache>
                <c:formatCode>General</c:formatCode>
                <c:ptCount val="16"/>
                <c:pt idx="0">
                  <c:v>597</c:v>
                </c:pt>
                <c:pt idx="1">
                  <c:v>4448</c:v>
                </c:pt>
                <c:pt idx="2">
                  <c:v>1788</c:v>
                </c:pt>
                <c:pt idx="3">
                  <c:v>1074</c:v>
                </c:pt>
                <c:pt idx="4">
                  <c:v>530</c:v>
                </c:pt>
                <c:pt idx="5">
                  <c:v>523</c:v>
                </c:pt>
                <c:pt idx="6">
                  <c:v>0</c:v>
                </c:pt>
                <c:pt idx="7">
                  <c:v>274</c:v>
                </c:pt>
                <c:pt idx="8">
                  <c:v>126</c:v>
                </c:pt>
                <c:pt idx="9">
                  <c:v>171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</c:ser>
        <c:axId val="14151270"/>
        <c:axId val="35039294"/>
      </c:scatterChart>
      <c:valAx>
        <c:axId val="1415127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5039294"/>
        <c:crosses val="autoZero"/>
        <c:crossBetween val="midCat"/>
      </c:valAx>
      <c:valAx>
        <c:axId val="35039294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4151270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spPr>
              <a:ln>
                <a:solidFill>
                  <a:srgbClr val="004586"/>
                </a:solidFill>
              </a:ln>
            </c:spPr>
            <c:trendlineType val="power"/>
            <c:forward val="0"/>
            <c:backward val="0"/>
            <c:dispRSqr val="0"/>
            <c:dispEq val="1"/>
          </c:trendline>
          <c:xVal>
            <c:numRef>
              <c:f>Sheet1!$B$13:$J$13</c:f>
              <c:numCache>
                <c:formatCode>General</c:formatCode>
                <c:ptCount val="9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</c:numCache>
            </c:numRef>
          </c:xVal>
          <c:yVal>
            <c:numRef>
              <c:f>Sheet1!$B$14:$J$14</c:f>
              <c:numCache>
                <c:formatCode>General</c:formatCode>
                <c:ptCount val="9"/>
                <c:pt idx="0">
                  <c:v>67</c:v>
                </c:pt>
                <c:pt idx="1">
                  <c:v>55</c:v>
                </c:pt>
                <c:pt idx="2">
                  <c:v>51</c:v>
                </c:pt>
                <c:pt idx="3">
                  <c:v>47</c:v>
                </c:pt>
                <c:pt idx="4">
                  <c:v>44</c:v>
                </c:pt>
                <c:pt idx="5">
                  <c:v>41</c:v>
                </c:pt>
                <c:pt idx="6">
                  <c:v>40</c:v>
                </c:pt>
                <c:pt idx="7">
                  <c:v>39</c:v>
                </c:pt>
                <c:pt idx="8">
                  <c:v>39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spPr>
              <a:ln>
                <a:solidFill>
                  <a:srgbClr val="ff420e"/>
                </a:solidFill>
              </a:ln>
            </c:spPr>
            <c:trendlineType val="power"/>
            <c:forward val="0"/>
            <c:backward val="0"/>
            <c:dispRSqr val="0"/>
            <c:dispEq val="1"/>
          </c:trendline>
          <c:xVal>
            <c:numRef>
              <c:f>Sheet1!$B$13:$J$13</c:f>
              <c:numCache>
                <c:formatCode>General</c:formatCode>
                <c:ptCount val="9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</c:numCache>
            </c:numRef>
          </c:xVal>
          <c:yVal>
            <c:numRef>
              <c:f>Sheet1!$B$15:$J$15</c:f>
              <c:numCache>
                <c:formatCode>General</c:formatCode>
                <c:ptCount val="9"/>
                <c:pt idx="0">
                  <c:v>0</c:v>
                </c:pt>
                <c:pt idx="1">
                  <c:v>54</c:v>
                </c:pt>
                <c:pt idx="2">
                  <c:v>39</c:v>
                </c:pt>
                <c:pt idx="3">
                  <c:v>36</c:v>
                </c:pt>
                <c:pt idx="4">
                  <c:v>34</c:v>
                </c:pt>
                <c:pt idx="5">
                  <c:v>29</c:v>
                </c:pt>
                <c:pt idx="6">
                  <c:v>27</c:v>
                </c:pt>
                <c:pt idx="7">
                  <c:v>26</c:v>
                </c:pt>
                <c:pt idx="8">
                  <c:v>26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ffd320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spPr>
              <a:ln>
                <a:solidFill>
                  <a:srgbClr val="ffd320"/>
                </a:solidFill>
              </a:ln>
            </c:spPr>
            <c:trendlineType val="power"/>
            <c:forward val="0"/>
            <c:backward val="0"/>
            <c:dispRSqr val="0"/>
            <c:dispEq val="1"/>
          </c:trendline>
          <c:xVal>
            <c:numRef>
              <c:f>Sheet1!$B$13:$J$13</c:f>
              <c:numCache>
                <c:formatCode>General</c:formatCode>
                <c:ptCount val="9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</c:numCache>
            </c:numRef>
          </c:xVal>
          <c:yVal>
            <c:numRef>
              <c:f>Sheet1!$B$16:$J$16</c:f>
              <c:numCache>
                <c:formatCode>General</c:formatCode>
                <c:ptCount val="9"/>
                <c:pt idx="0">
                  <c:v>0</c:v>
                </c:pt>
                <c:pt idx="1">
                  <c:v>49</c:v>
                </c:pt>
                <c:pt idx="2">
                  <c:v>37</c:v>
                </c:pt>
                <c:pt idx="3">
                  <c:v>32</c:v>
                </c:pt>
                <c:pt idx="4">
                  <c:v>26</c:v>
                </c:pt>
                <c:pt idx="5">
                  <c:v>24</c:v>
                </c:pt>
                <c:pt idx="6">
                  <c:v>23</c:v>
                </c:pt>
                <c:pt idx="7">
                  <c:v>23</c:v>
                </c:pt>
                <c:pt idx="8">
                  <c:v>22</c:v>
                </c:pt>
              </c:numCache>
            </c:numRef>
          </c:yVal>
          <c:smooth val="0"/>
        </c:ser>
        <c:axId val="47948571"/>
        <c:axId val="40246321"/>
      </c:scatterChart>
      <c:valAx>
        <c:axId val="479485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0246321"/>
        <c:crosses val="autoZero"/>
        <c:crossBetween val="midCat"/>
      </c:valAx>
      <c:valAx>
        <c:axId val="40246321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7948571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239760</xdr:colOff>
      <xdr:row>15</xdr:row>
      <xdr:rowOff>39960</xdr:rowOff>
    </xdr:from>
    <xdr:to>
      <xdr:col>25</xdr:col>
      <xdr:colOff>147600</xdr:colOff>
      <xdr:row>32</xdr:row>
      <xdr:rowOff>127440</xdr:rowOff>
    </xdr:to>
    <xdr:graphicFrame>
      <xdr:nvGraphicFramePr>
        <xdr:cNvPr id="0" name=""/>
        <xdr:cNvGraphicFramePr/>
      </xdr:nvGraphicFramePr>
      <xdr:xfrm>
        <a:off x="8422200" y="2668680"/>
        <a:ext cx="5758560" cy="323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588960</xdr:colOff>
      <xdr:row>19</xdr:row>
      <xdr:rowOff>72000</xdr:rowOff>
    </xdr:from>
    <xdr:to>
      <xdr:col>10</xdr:col>
      <xdr:colOff>272520</xdr:colOff>
      <xdr:row>36</xdr:row>
      <xdr:rowOff>98280</xdr:rowOff>
    </xdr:to>
    <xdr:graphicFrame>
      <xdr:nvGraphicFramePr>
        <xdr:cNvPr id="1" name=""/>
        <xdr:cNvGraphicFramePr/>
      </xdr:nvGraphicFramePr>
      <xdr:xfrm>
        <a:off x="588960" y="3401640"/>
        <a:ext cx="5758920" cy="323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C1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V5" activeCellId="0" sqref="V5"/>
    </sheetView>
  </sheetViews>
  <sheetFormatPr defaultRowHeight="15" zeroHeight="false" outlineLevelRow="0" outlineLevelCol="0"/>
  <cols>
    <col collapsed="false" customWidth="true" hidden="false" outlineLevel="0" max="1" min="1" style="0" width="22.42"/>
    <col collapsed="false" customWidth="true" hidden="false" outlineLevel="0" max="2" min="2" style="0" width="4.96"/>
    <col collapsed="false" customWidth="true" hidden="false" outlineLevel="0" max="3" min="3" style="0" width="5.42"/>
    <col collapsed="false" customWidth="true" hidden="false" outlineLevel="0" max="4" min="4" style="0" width="4.96"/>
    <col collapsed="false" customWidth="true" hidden="false" outlineLevel="0" max="5" min="5" style="0" width="5.23"/>
    <col collapsed="false" customWidth="true" hidden="false" outlineLevel="0" max="6" min="6" style="0" width="5.14"/>
    <col collapsed="false" customWidth="true" hidden="false" outlineLevel="0" max="7" min="7" style="0" width="4.96"/>
    <col collapsed="false" customWidth="true" hidden="false" outlineLevel="0" max="8" min="8" style="0" width="5.69"/>
    <col collapsed="false" customWidth="true" hidden="false" outlineLevel="0" max="10" min="9" style="0" width="4.78"/>
    <col collapsed="false" customWidth="true" hidden="false" outlineLevel="0" max="11" min="11" style="0" width="4.59"/>
    <col collapsed="false" customWidth="true" hidden="false" outlineLevel="0" max="12" min="12" style="0" width="4.68"/>
    <col collapsed="false" customWidth="true" hidden="false" outlineLevel="0" max="13" min="13" style="0" width="4.86"/>
    <col collapsed="false" customWidth="true" hidden="false" outlineLevel="0" max="16" min="14" style="0" width="4.78"/>
    <col collapsed="false" customWidth="true" hidden="false" outlineLevel="0" max="17" min="17" style="0" width="4.22"/>
    <col collapsed="false" customWidth="true" hidden="false" outlineLevel="0" max="18" min="18" style="0" width="4.31"/>
    <col collapsed="false" customWidth="true" hidden="false" outlineLevel="0" max="19" min="19" style="0" width="4.96"/>
    <col collapsed="false" customWidth="true" hidden="false" outlineLevel="0" max="20" min="20" style="0" width="4.86"/>
    <col collapsed="false" customWidth="true" hidden="false" outlineLevel="0" max="1025" min="21" style="0" width="8.53"/>
  </cols>
  <sheetData>
    <row r="1" customFormat="false" ht="13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3.8" hidden="false" customHeight="false" outlineLevel="0" collapsed="false">
      <c r="A2" s="0" t="s">
        <v>1</v>
      </c>
      <c r="B2" s="0" t="n">
        <v>25</v>
      </c>
      <c r="C2" s="0" t="n">
        <v>50</v>
      </c>
      <c r="D2" s="0" t="n">
        <v>75</v>
      </c>
      <c r="E2" s="0" t="n">
        <v>100</v>
      </c>
      <c r="F2" s="0" t="n">
        <v>125</v>
      </c>
      <c r="G2" s="0" t="n">
        <v>150</v>
      </c>
      <c r="H2" s="0" t="n">
        <v>175</v>
      </c>
      <c r="I2" s="0" t="n">
        <v>200</v>
      </c>
      <c r="J2" s="0" t="n">
        <v>225</v>
      </c>
      <c r="K2" s="0" t="n">
        <v>250</v>
      </c>
      <c r="L2" s="0" t="n">
        <v>275</v>
      </c>
      <c r="M2" s="0" t="n">
        <v>300</v>
      </c>
      <c r="N2" s="0" t="n">
        <v>325</v>
      </c>
      <c r="O2" s="0" t="n">
        <v>350</v>
      </c>
      <c r="P2" s="0" t="n">
        <v>375</v>
      </c>
      <c r="Q2" s="0" t="n">
        <v>400</v>
      </c>
      <c r="R2" s="0" t="n">
        <v>425</v>
      </c>
      <c r="S2" s="0" t="n">
        <v>450</v>
      </c>
      <c r="T2" s="0" t="n">
        <v>475</v>
      </c>
      <c r="U2" s="0" t="s">
        <v>2</v>
      </c>
      <c r="V2" s="2" t="s">
        <v>3</v>
      </c>
      <c r="W2" s="2"/>
      <c r="X2" s="2"/>
      <c r="Y2" s="2"/>
      <c r="Z2" s="2"/>
      <c r="AA2" s="2"/>
      <c r="AB2" s="2"/>
      <c r="AC2" s="2"/>
    </row>
    <row r="3" customFormat="false" ht="13.8" hidden="false" customHeight="false" outlineLevel="0" collapsed="false">
      <c r="A3" s="0" t="s">
        <v>4</v>
      </c>
      <c r="B3" s="2" t="n">
        <v>0</v>
      </c>
      <c r="C3" s="2" t="n">
        <v>0</v>
      </c>
      <c r="D3" s="2" t="n">
        <v>278</v>
      </c>
      <c r="E3" s="2" t="n">
        <v>4373</v>
      </c>
      <c r="F3" s="2" t="n">
        <v>1182</v>
      </c>
      <c r="G3" s="2" t="n">
        <v>1147</v>
      </c>
      <c r="H3" s="2" t="n">
        <v>544</v>
      </c>
      <c r="I3" s="2" t="n">
        <v>210</v>
      </c>
      <c r="J3" s="2" t="n">
        <v>445</v>
      </c>
      <c r="K3" s="2" t="n">
        <v>179</v>
      </c>
      <c r="L3" s="2" t="n">
        <v>155</v>
      </c>
      <c r="M3" s="2" t="n">
        <v>262</v>
      </c>
      <c r="N3" s="2" t="n">
        <v>266</v>
      </c>
      <c r="O3" s="2" t="n">
        <v>141</v>
      </c>
      <c r="P3" s="2" t="n">
        <v>0</v>
      </c>
      <c r="Q3" s="2" t="n">
        <v>112</v>
      </c>
      <c r="R3" s="2" t="n">
        <v>0</v>
      </c>
      <c r="S3" s="2" t="n">
        <v>0</v>
      </c>
      <c r="T3" s="2" t="n">
        <v>625</v>
      </c>
      <c r="U3" s="0" t="n">
        <v>-1.71</v>
      </c>
      <c r="V3" s="0" t="n">
        <f aca="false">(U3+1)/3</f>
        <v>-0.236666666666667</v>
      </c>
    </row>
    <row r="4" customFormat="false" ht="13.8" hidden="false" customHeight="false" outlineLevel="0" collapsed="false">
      <c r="A4" s="3" t="s">
        <v>5</v>
      </c>
      <c r="B4" s="2" t="n">
        <v>0</v>
      </c>
      <c r="C4" s="2" t="n">
        <v>0</v>
      </c>
      <c r="D4" s="2" t="n">
        <v>20</v>
      </c>
      <c r="E4" s="2" t="n">
        <v>3090</v>
      </c>
      <c r="F4" s="2" t="n">
        <v>3240</v>
      </c>
      <c r="G4" s="2" t="n">
        <v>980</v>
      </c>
      <c r="H4" s="2" t="n">
        <v>660</v>
      </c>
      <c r="I4" s="2" t="n">
        <v>531</v>
      </c>
      <c r="J4" s="2" t="n">
        <v>524</v>
      </c>
      <c r="K4" s="2" t="n">
        <v>207</v>
      </c>
      <c r="L4" s="2" t="n">
        <v>0</v>
      </c>
      <c r="M4" s="2" t="n">
        <v>84</v>
      </c>
      <c r="N4" s="2" t="n">
        <v>94</v>
      </c>
      <c r="O4" s="2" t="n">
        <v>103</v>
      </c>
      <c r="P4" s="2" t="n">
        <v>203</v>
      </c>
      <c r="Q4" s="2" t="n">
        <v>0</v>
      </c>
      <c r="R4" s="2" t="n">
        <v>0</v>
      </c>
      <c r="S4" s="2" t="n">
        <v>0</v>
      </c>
      <c r="T4" s="2" t="n">
        <v>0</v>
      </c>
      <c r="U4" s="0" t="n">
        <v>-2.82</v>
      </c>
      <c r="V4" s="3" t="n">
        <f aca="false">(U4+1)/3</f>
        <v>-0.606666666666667</v>
      </c>
    </row>
    <row r="5" customFormat="false" ht="13.8" hidden="false" customHeight="false" outlineLevel="0" collapsed="false">
      <c r="A5" s="3" t="s">
        <v>6</v>
      </c>
      <c r="B5" s="2" t="n">
        <v>0</v>
      </c>
      <c r="C5" s="2" t="n">
        <v>0</v>
      </c>
      <c r="D5" s="2" t="n">
        <v>0</v>
      </c>
      <c r="E5" s="2" t="n">
        <v>597</v>
      </c>
      <c r="F5" s="2" t="n">
        <v>4448</v>
      </c>
      <c r="G5" s="2" t="n">
        <v>1788</v>
      </c>
      <c r="H5" s="2" t="n">
        <v>1074</v>
      </c>
      <c r="I5" s="2" t="n">
        <v>530</v>
      </c>
      <c r="J5" s="2" t="n">
        <v>523</v>
      </c>
      <c r="K5" s="2" t="n">
        <v>0</v>
      </c>
      <c r="L5" s="2" t="n">
        <v>274</v>
      </c>
      <c r="M5" s="2" t="n">
        <v>126</v>
      </c>
      <c r="N5" s="2" t="n">
        <v>171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0" t="n">
        <v>-2.1</v>
      </c>
      <c r="V5" s="3" t="n">
        <f aca="false">(U5+1)/3</f>
        <v>-0.366666666666667</v>
      </c>
    </row>
    <row r="12" customFormat="false" ht="13.8" hidden="false" customHeight="false" outlineLevel="0" collapsed="false">
      <c r="A12" s="1" t="s">
        <v>7</v>
      </c>
      <c r="B12" s="1"/>
      <c r="C12" s="1"/>
      <c r="D12" s="1"/>
      <c r="E12" s="1"/>
      <c r="F12" s="1"/>
      <c r="G12" s="1"/>
      <c r="H12" s="1"/>
      <c r="I12" s="1"/>
    </row>
    <row r="13" customFormat="false" ht="13.8" hidden="false" customHeight="false" outlineLevel="0" collapsed="false">
      <c r="A13" s="0" t="s">
        <v>8</v>
      </c>
      <c r="B13" s="0" t="n">
        <v>0.1</v>
      </c>
      <c r="C13" s="0" t="n">
        <v>0.15</v>
      </c>
      <c r="D13" s="0" t="n">
        <v>0.2</v>
      </c>
      <c r="E13" s="0" t="n">
        <v>0.25</v>
      </c>
      <c r="F13" s="0" t="n">
        <v>0.3</v>
      </c>
      <c r="G13" s="0" t="n">
        <v>0.35</v>
      </c>
      <c r="H13" s="0" t="n">
        <v>0.4</v>
      </c>
      <c r="I13" s="0" t="n">
        <v>0.45</v>
      </c>
      <c r="J13" s="0" t="n">
        <v>0.5</v>
      </c>
      <c r="K13" s="0" t="s">
        <v>3</v>
      </c>
    </row>
    <row r="14" customFormat="false" ht="13.8" hidden="false" customHeight="false" outlineLevel="0" collapsed="false">
      <c r="A14" s="0" t="s">
        <v>9</v>
      </c>
      <c r="B14" s="0" t="n">
        <v>67</v>
      </c>
      <c r="C14" s="0" t="n">
        <v>55</v>
      </c>
      <c r="D14" s="0" t="n">
        <v>51</v>
      </c>
      <c r="E14" s="0" t="n">
        <v>47</v>
      </c>
      <c r="F14" s="0" t="n">
        <v>44</v>
      </c>
      <c r="G14" s="0" t="n">
        <v>41</v>
      </c>
      <c r="H14" s="0" t="n">
        <v>40</v>
      </c>
      <c r="I14" s="0" t="n">
        <v>39</v>
      </c>
      <c r="J14" s="0" t="n">
        <v>39</v>
      </c>
      <c r="K14" s="0" t="n">
        <v>-0.34</v>
      </c>
    </row>
    <row r="15" customFormat="false" ht="13.8" hidden="false" customHeight="false" outlineLevel="0" collapsed="false">
      <c r="A15" s="3" t="s">
        <v>10</v>
      </c>
      <c r="B15" s="0" t="n">
        <v>0</v>
      </c>
      <c r="C15" s="0" t="n">
        <v>54</v>
      </c>
      <c r="D15" s="0" t="n">
        <v>39</v>
      </c>
      <c r="E15" s="0" t="n">
        <v>36</v>
      </c>
      <c r="F15" s="0" t="n">
        <v>34</v>
      </c>
      <c r="G15" s="0" t="n">
        <v>29</v>
      </c>
      <c r="H15" s="0" t="n">
        <v>27</v>
      </c>
      <c r="I15" s="0" t="n">
        <v>26</v>
      </c>
      <c r="J15" s="0" t="n">
        <v>26</v>
      </c>
      <c r="K15" s="0" t="n">
        <v>-0.6</v>
      </c>
    </row>
    <row r="16" customFormat="false" ht="13.8" hidden="false" customHeight="false" outlineLevel="0" collapsed="false">
      <c r="A16" s="3" t="s">
        <v>11</v>
      </c>
      <c r="B16" s="0" t="n">
        <v>0</v>
      </c>
      <c r="C16" s="0" t="n">
        <v>49</v>
      </c>
      <c r="D16" s="0" t="n">
        <v>37</v>
      </c>
      <c r="E16" s="0" t="n">
        <v>32</v>
      </c>
      <c r="F16" s="0" t="n">
        <v>26</v>
      </c>
      <c r="G16" s="0" t="n">
        <v>24</v>
      </c>
      <c r="H16" s="0" t="n">
        <v>23</v>
      </c>
      <c r="I16" s="0" t="n">
        <v>23</v>
      </c>
      <c r="J16" s="0" t="n">
        <v>22</v>
      </c>
      <c r="K16" s="0" t="n">
        <v>-0.66</v>
      </c>
    </row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</sheetData>
  <mergeCells count="2">
    <mergeCell ref="A1:I1"/>
    <mergeCell ref="A12:I1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2017-11-24T17:55:42Z</dcterms:created>
  <dc:creator>bruno</dc:creator>
  <dc:description/>
  <dc:language>en-US</dc:language>
  <cp:lastModifiedBy/>
  <dcterms:modified xsi:type="dcterms:W3CDTF">2019-11-11T00:23:53Z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